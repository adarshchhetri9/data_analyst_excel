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data_analyst_excel\6_Advanced_Data_Analysis\"/>
    </mc:Choice>
  </mc:AlternateContent>
  <xr:revisionPtr revIDLastSave="0" documentId="13_ncr:1_{DE74B4E0-3509-4DBE-96B7-0C7219A51035}" xr6:coauthVersionLast="47" xr6:coauthVersionMax="47" xr10:uidLastSave="{00000000-0000-0000-0000-000000000000}"/>
  <bookViews>
    <workbookView xWindow="-108" yWindow="-108" windowWidth="23256" windowHeight="12720" firstSheet="1" activeTab="3" xr2:uid="{6C37AC85-509F-4D10-9DB1-F70D16D6FBAB}"/>
  </bookViews>
  <sheets>
    <sheet name="Forecast_Original" sheetId="7" r:id="rId1"/>
    <sheet name="Forecast_Final" sheetId="8" r:id="rId2"/>
    <sheet name="Answer Report 1" sheetId="16" r:id="rId3"/>
    <sheet name="What-If_Analysis" sheetId="3" r:id="rId4"/>
    <sheet name="Scenario_Summary" sheetId="12" r:id="rId5"/>
    <sheet name="Answer_Report" sheetId="13" r:id="rId6"/>
    <sheet name="Limits_Report" sheetId="15" r:id="rId7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'What-If_Analysis'!$C$3,'What-If_Analysis'!$C$5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0.25</definedName>
    <definedName name="solver_rhs2" localSheetId="3" hidden="1">0.035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6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640000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<sst xmlns="http://schemas.openxmlformats.org/spreadsheetml/2006/main" count="162" uniqueCount="82">
  <si>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</si>
  <si>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</si>
  <si>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</si>
  <si>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</si>
  <si>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</si>
  <si>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</si>
  <si>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</si>
  <si>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</si>
  <si>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</si>
  <si>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</si>
  <si>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</si>
  <si>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</si>
  <si>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</si>
  <si>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</si>
  <si>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</si>
  <si>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</si>
  <si>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</si>
  <si>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</si>
  <si>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</si>
  <si>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</si>
  <si>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</si>
  <si>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</si>
  <si>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</si>
  <si>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</si>
  <si>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</si>
  <si>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</si>
  <si>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</si>
  <si>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</si>
  <si>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</si>
  <si>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</si>
  <si>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</si>
  <si>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</si>
  <si>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</si>
  <si>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</si>
  <si>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</si>
  <si>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</si>
  <si>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</si>
  <si>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</si>
  <si>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</si>
  <si>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</si>
  <si>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</si>
  <si>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</si>
  <si>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</si>
  <si>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</si>
  <si>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</si>
  <si>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</si>
  <si>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</si>
  <si>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</si>
  <si>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</si>
  <si>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</si>
  <si>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</si>
  <si>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</si>
  <si>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</si>
  <si>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</si>
  <si>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</si>
  <si>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</si>
  <si>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</si>
  <si>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</si>
  <si>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</si>
  <si>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</si>
  <si>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</si>
  <si>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</si>
  <si>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</si>
  <si>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</si>
  <si>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</si>
  <si>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</si>
  <si>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</si>
  <si>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</si>
  <si>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</si>
  <si>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</si>
  <si>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</si>
  <si>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</si>
  <si>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</si>
  <si>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</si>
  <si>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</si>
  <si>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</si>
  <si>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</si>
  <si>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</si>
  <si>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Report Created: 7/13/2025 2:52:02 PM</t>
  </si>
  <si>
    <t>Solution Time: 0.015 Seconds.</t>
  </si>
  <si>
    <t>Iterations: 2 Subproblems: 0</t>
  </si>
  <si>
    <t>$C$3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</si>
</sst>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73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164" fontId="0" fillId="0" borderId="28" xfId="0" applyNumberFormat="1" applyFill="1" applyBorder="1" applyAlignment="1"/>
    <xf numFmtId="165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T1" sqref="T1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6E81-B547-4B3F-A234-B05DF491C2F0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79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566749.36179999996</v>
      </c>
      <c r="E16" s="70">
        <v>639999.51359999995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81</v>
      </c>
      <c r="C21" s="69" t="s">
        <v>14</v>
      </c>
      <c r="D21" s="71">
        <v>100000</v>
      </c>
      <c r="E21" s="71">
        <v>112911.4927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1.4999999999999999E-2</v>
      </c>
      <c r="E22" s="72">
        <v>1.5058095262201993E-2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ht="15" thickBot="1" x14ac:dyDescent="0.35">
      <c r="B27" s="67" t="s">
        <v>29</v>
      </c>
      <c r="C27" s="67" t="s">
        <v>35</v>
      </c>
      <c r="D27" s="70">
        <v>639999.51</v>
      </c>
      <c r="E27" s="67" t="s">
        <v>63</v>
      </c>
      <c r="F27" s="67" t="s">
        <v>64</v>
      </c>
      <c r="G27" s="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F10" sqref="F10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112911.49270929885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1.5058095262201993E-2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124202.64198022874</v>
      </c>
    </row>
    <row r="10" spans="2:8" x14ac:dyDescent="0.3">
      <c r="B10" s="4">
        <v>1</v>
      </c>
      <c r="C10" s="2">
        <f>(base*(1+raise)^B10)*(1+bonus)</f>
        <v>126072.89719498419</v>
      </c>
    </row>
    <row r="11" spans="2:8" x14ac:dyDescent="0.3">
      <c r="B11" s="4">
        <v>2</v>
      </c>
      <c r="C11" s="2">
        <f>(base*(1+raise)^B11)*(1+bonus)</f>
        <v>127971.31489092804</v>
      </c>
    </row>
    <row r="12" spans="2:8" x14ac:dyDescent="0.3">
      <c r="B12" s="4">
        <v>3</v>
      </c>
      <c r="C12" s="2">
        <f>(base*(1+raise)^B12)*(1+bonus)</f>
        <v>129898.31914138488</v>
      </c>
    </row>
    <row r="13" spans="2:8" ht="15" thickBot="1" x14ac:dyDescent="0.35">
      <c r="B13" s="36">
        <v>4</v>
      </c>
      <c r="C13" s="37">
        <f>(base*(1+raise)^B13)*(1+bonus)</f>
        <v>131854.34040541577</v>
      </c>
    </row>
    <row r="14" spans="2:8" ht="15.6" thickTop="1" thickBot="1" x14ac:dyDescent="0.35">
      <c r="B14" s="34" t="s">
        <v>3</v>
      </c>
      <c r="C14" s="35">
        <f>SUM(C9:C13)</f>
        <v>639999.51361294161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Forecast_Original</vt:lpstr>
      <vt:lpstr>Forecast_Final</vt:lpstr>
      <vt:lpstr>Answer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adarsh chhetrii</cp:lastModifiedBy>
  <dcterms:created xsi:type="dcterms:W3CDTF">2024-08-08T18:34:47Z</dcterms:created>
  <dcterms:modified xsi:type="dcterms:W3CDTF">2025-07-13T09:27:59Z</dcterms:modified>
</cp:coreProperties>
</file>